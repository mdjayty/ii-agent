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ights" sheetId="2" state="visible" r:id="rId2"/>
    <sheet name="Accommodation" sheetId="3" state="visible" r:id="rId3"/>
    <sheet name="Transportation" sheetId="4" state="visible" r:id="rId4"/>
    <sheet name="Activities" sheetId="5" state="visible" r:id="rId5"/>
    <sheet name="Fo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sz val="10"/>
    </font>
    <font>
      <name val="Calibri"/>
      <b val="1"/>
      <color rgb="00006100"/>
      <sz val="12"/>
    </font>
    <font>
      <name val="Calibri"/>
      <b val="1"/>
      <color rgb="00FFFFFF"/>
      <sz val="12"/>
    </font>
    <font>
      <name val="Calibri"/>
      <b val="1"/>
      <color rgb="002F5496"/>
      <sz val="11"/>
    </font>
    <font>
      <name val="Calibri"/>
      <b val="1"/>
      <sz val="12"/>
    </font>
    <font>
      <name val="Calibri"/>
      <b val="1"/>
      <color rgb="002F5496"/>
      <sz val="14"/>
    </font>
    <font>
      <name val="Calibri"/>
      <color rgb="000563C1"/>
      <sz val="10"/>
      <u val="single"/>
    </font>
    <font>
      <name val="Calibri"/>
      <b val="1"/>
      <sz val="11"/>
    </font>
    <font>
      <name val="Calibr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wrapText="1"/>
    </xf>
    <xf numFmtId="165" fontId="0" fillId="3" borderId="1" applyAlignment="1" pivotButton="0" quotePrefix="0" xfId="0">
      <alignment wrapText="1"/>
    </xf>
    <xf numFmtId="164" fontId="0" fillId="3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6" fillId="4" borderId="1" pivotButton="0" quotePrefix="0" xfId="0"/>
    <xf numFmtId="0" fontId="0" fillId="4" borderId="1" pivotButton="0" quotePrefix="0" xfId="0"/>
    <xf numFmtId="165" fontId="6" fillId="4" borderId="1" pivotButton="0" quotePrefix="0" xfId="0"/>
    <xf numFmtId="164" fontId="0" fillId="4" borderId="1" pivotButton="0" quotePrefix="0" xfId="0"/>
    <xf numFmtId="0" fontId="3" fillId="4" borderId="1" pivotButton="0" quotePrefix="0" xfId="0"/>
    <xf numFmtId="165" fontId="3" fillId="4" borderId="1" pivotButton="0" quotePrefix="0" xfId="0"/>
    <xf numFmtId="0" fontId="7" fillId="0" borderId="0" pivotButton="0" quotePrefix="0" xfId="0"/>
    <xf numFmtId="0" fontId="8" fillId="0" borderId="1" applyAlignment="1" pivotButton="0" quotePrefix="0" xfId="0">
      <alignment wrapText="1"/>
    </xf>
    <xf numFmtId="0" fontId="9" fillId="5" borderId="1" pivotButton="0" quotePrefix="0" xfId="0"/>
    <xf numFmtId="0" fontId="0" fillId="5" borderId="1" pivotButton="0" quotePrefix="0" xfId="0"/>
    <xf numFmtId="165" fontId="9" fillId="5" borderId="1" pivotButton="0" quotePrefix="0" xfId="0"/>
    <xf numFmtId="0" fontId="9" fillId="0" borderId="0" pivotButton="0" quotePrefix="0" xfId="0"/>
    <xf numFmtId="165" fontId="0" fillId="0" borderId="0" pivotButton="0" quotePrefix="0" xfId="0"/>
    <xf numFmtId="0" fontId="10" fillId="0" borderId="0" pivotButton="0" quotePrefix="0" xfId="0"/>
    <xf numFmtId="165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ytap.com" TargetMode="External" Id="rId1" /><Relationship Type="http://schemas.openxmlformats.org/officeDocument/2006/relationships/hyperlink" Target="https://www.vueling.com" TargetMode="External" Id="rId2" /><Relationship Type="http://schemas.openxmlformats.org/officeDocument/2006/relationships/hyperlink" Target="https://www.swiss.com" TargetMode="External" Id="rId3" /><Relationship Type="http://schemas.openxmlformats.org/officeDocument/2006/relationships/hyperlink" Target="https://www.aircanada.com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oteldabaixa.com" TargetMode="External" Id="rId1" /><Relationship Type="http://schemas.openxmlformats.org/officeDocument/2006/relationships/hyperlink" Target="https://www.moovhotels.com" TargetMode="External" Id="rId2" /><Relationship Type="http://schemas.openxmlformats.org/officeDocument/2006/relationships/hyperlink" Target="https://www.hotelarai.com" TargetMode="External" Id="rId3" /><Relationship Type="http://schemas.openxmlformats.org/officeDocument/2006/relationships/hyperlink" Target="https://www.glockenhof.ch" TargetMode="External" Id="rId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swisstravelsystem.com" TargetMode="External" Id="rId1" /><Relationship Type="http://schemas.openxmlformats.org/officeDocument/2006/relationships/hyperlink" Target="https://www.cp.pt" TargetMode="External" Id="rId2" /><Relationship Type="http://schemas.openxmlformats.org/officeDocument/2006/relationships/hyperlink" Target="https://www.cp.pt" TargetMode="External" Id="rId3" /><Relationship Type="http://schemas.openxmlformats.org/officeDocument/2006/relationships/hyperlink" Target="https://www.cp.pt" TargetMode="External" Id="rId4" /><Relationship Type="http://schemas.openxmlformats.org/officeDocument/2006/relationships/hyperlink" Target="https://www.metrolisboa.pt" TargetMode="External" Id="rId5" /><Relationship Type="http://schemas.openxmlformats.org/officeDocument/2006/relationships/hyperlink" Target="https://www.tmb.cat" TargetMode="External" Id="rId6" /><Relationship Type="http://schemas.openxmlformats.org/officeDocument/2006/relationships/hyperlink" Target="https://rofrens.gencat.cat" TargetMode="External" Id="rId7" /><Relationship Type="http://schemas.openxmlformats.org/officeDocument/2006/relationships/hyperlink" Target="https://rodalies.gencat.cat" TargetMode="External" Id="rId8" /><Relationship Type="http://schemas.openxmlformats.org/officeDocument/2006/relationships/hyperlink" Target="https://www.renfe.com" TargetMode="External" Id="rId9" /><Relationship Type="http://schemas.openxmlformats.org/officeDocument/2006/relationships/hyperlink" Target="https://www.fgc.cat" TargetMode="External" Id="rId10" /><Relationship Type="http://schemas.openxmlformats.org/officeDocument/2006/relationships/hyperlink" Target="https://www.tmb.cat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s://en.wikipedia.org/wiki/Tibidabo" TargetMode="External" Id="rId1" /><Relationship Type="http://schemas.openxmlformats.org/officeDocument/2006/relationships/hyperlink" Target="https://www.truemmelbachfaelle.ch" TargetMode="External" Id="rId2" /><Relationship Type="http://schemas.openxmlformats.org/officeDocument/2006/relationships/hyperlink" Target="https://www.jungfrau.ch" TargetMode="External" Id="rId3" /><Relationship Type="http://schemas.openxmlformats.org/officeDocument/2006/relationships/hyperlink" Target="https://www.pilatus.ch" TargetMode="External" Id="rId4" /><Relationship Type="http://schemas.openxmlformats.org/officeDocument/2006/relationships/hyperlink" Target="https://www.rheinfall.ch" TargetMode="External" Id="rId5" /></Relationships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4" customWidth="1" min="4" max="4"/>
    <col width="22" customWidth="1" min="5" max="5"/>
    <col width="42" customWidth="1" min="6" max="6"/>
  </cols>
  <sheetData>
    <row r="1">
      <c r="A1" s="1" t="inlineStr">
        <is>
          <t>Europe Trip 2025 - Budget Summary</t>
        </is>
      </c>
    </row>
    <row r="2">
      <c r="A2" s="2" t="inlineStr">
        <is>
          <t>4 Travelers | 21 Days | September 2025 | Toronto -&gt; Lisbon -&gt; Porto -&gt; Barcelona -&gt; Zurich -&gt; Toronto</t>
        </is>
      </c>
    </row>
    <row r="3">
      <c r="A3" s="3" t="inlineStr">
        <is>
          <t>Total Budget: $10,000 USD</t>
        </is>
      </c>
    </row>
    <row r="5">
      <c r="A5" s="4" t="inlineStr">
        <is>
          <t>Category</t>
        </is>
      </c>
      <c r="B5" s="4" t="inlineStr">
        <is>
          <t>Subcategory</t>
        </is>
      </c>
      <c r="C5" s="4" t="inlineStr">
        <is>
          <t>Cost (4 People)</t>
        </is>
      </c>
      <c r="D5" s="4" t="inlineStr">
        <is>
          <t>% of Budget</t>
        </is>
      </c>
      <c r="E5" s="4" t="inlineStr">
        <is>
          <t>Sheet Link</t>
        </is>
      </c>
      <c r="F5" s="4" t="inlineStr">
        <is>
          <t>Notes</t>
        </is>
      </c>
    </row>
    <row r="6">
      <c r="A6" s="5" t="inlineStr">
        <is>
          <t>Flights</t>
        </is>
      </c>
      <c r="B6" s="5" t="inlineStr">
        <is>
          <t>All direct flights</t>
        </is>
      </c>
      <c r="C6" s="6" t="n">
        <v>3840</v>
      </c>
      <c r="D6" s="7" t="n">
        <v>0.384</v>
      </c>
      <c r="E6" s="8" t="inlineStr">
        <is>
          <t>See 'Flights' sheet</t>
        </is>
      </c>
      <c r="F6" s="8" t="inlineStr">
        <is>
          <t>TAP, Air Canada, SWISS, Vueling</t>
        </is>
      </c>
    </row>
    <row r="7">
      <c r="A7" s="9" t="inlineStr"/>
      <c r="B7" s="9" t="inlineStr">
        <is>
          <t>Toronto -&gt; Lisbon</t>
        </is>
      </c>
      <c r="C7" s="10" t="n">
        <v>1800</v>
      </c>
      <c r="D7" s="11" t="n">
        <v>0.18</v>
      </c>
      <c r="E7" s="9" t="n"/>
      <c r="F7" s="9" t="inlineStr">
        <is>
          <t>TAP/Air Canada/Air Transat direct 7h</t>
        </is>
      </c>
    </row>
    <row r="8">
      <c r="A8" s="9" t="inlineStr"/>
      <c r="B8" s="9" t="inlineStr">
        <is>
          <t>Lisbon -&gt; Barcelona</t>
        </is>
      </c>
      <c r="C8" s="10" t="n">
        <v>200</v>
      </c>
      <c r="D8" s="11" t="n">
        <v>0.02</v>
      </c>
      <c r="E8" s="9" t="n"/>
      <c r="F8" s="9" t="inlineStr">
        <is>
          <t>TAP/Vueling/Ryanair direct 2h</t>
        </is>
      </c>
    </row>
    <row r="9">
      <c r="A9" s="9" t="inlineStr"/>
      <c r="B9" s="9" t="inlineStr">
        <is>
          <t>Barcelona -&gt; Zurich</t>
        </is>
      </c>
      <c r="C9" s="10" t="n">
        <v>240</v>
      </c>
      <c r="D9" s="11" t="n">
        <v>0.024</v>
      </c>
      <c r="E9" s="9" t="n"/>
      <c r="F9" s="9" t="inlineStr">
        <is>
          <t>SWISS/Vueling direct 1h45m</t>
        </is>
      </c>
    </row>
    <row r="10">
      <c r="A10" s="9" t="inlineStr"/>
      <c r="B10" s="9" t="inlineStr">
        <is>
          <t>Zurich -&gt; Toronto</t>
        </is>
      </c>
      <c r="C10" s="10" t="n">
        <v>1600</v>
      </c>
      <c r="D10" s="11" t="n">
        <v>0.16</v>
      </c>
      <c r="E10" s="9" t="n"/>
      <c r="F10" s="9" t="inlineStr">
        <is>
          <t>Air Canada/SWISS direct 9h</t>
        </is>
      </c>
    </row>
    <row r="11">
      <c r="A11" s="5" t="inlineStr">
        <is>
          <t>Accommodation</t>
        </is>
      </c>
      <c r="B11" s="5" t="inlineStr">
        <is>
          <t>20 nights total</t>
        </is>
      </c>
      <c r="C11" s="6" t="n">
        <v>2550</v>
      </c>
      <c r="D11" s="7" t="n">
        <v>0.255</v>
      </c>
      <c r="E11" s="8" t="inlineStr">
        <is>
          <t>See 'Accommodation' sheet</t>
        </is>
      </c>
      <c r="F11" s="8" t="inlineStr">
        <is>
          <t>3 hotel check-ins total</t>
        </is>
      </c>
    </row>
    <row r="12">
      <c r="A12" s="9" t="inlineStr"/>
      <c r="B12" s="9" t="inlineStr">
        <is>
          <t>Lisbon - Hotel da Baixa (5 nights)</t>
        </is>
      </c>
      <c r="C12" s="10" t="n">
        <v>550</v>
      </c>
      <c r="D12" s="11" t="n">
        <v>0.055</v>
      </c>
      <c r="E12" s="9" t="n"/>
      <c r="F12" s="9" t="inlineStr">
        <is>
          <t>~$110/night, family rooms</t>
        </is>
      </c>
    </row>
    <row r="13">
      <c r="A13" s="9" t="inlineStr"/>
      <c r="B13" s="9" t="inlineStr">
        <is>
          <t>Porto - Moov Hotel (2 nights)</t>
        </is>
      </c>
      <c r="C13" s="10" t="n">
        <v>200</v>
      </c>
      <c r="D13" s="11" t="n">
        <v>0.02</v>
      </c>
      <c r="E13" s="9" t="n"/>
      <c r="F13" s="9" t="inlineStr">
        <is>
          <t>~$100/night, superior rooms</t>
        </is>
      </c>
    </row>
    <row r="14">
      <c r="A14" s="9" t="inlineStr"/>
      <c r="B14" s="9" t="inlineStr">
        <is>
          <t>Barcelona - Aparthotel Arai (7 nights)</t>
        </is>
      </c>
      <c r="C14" s="10" t="n">
        <v>840</v>
      </c>
      <c r="D14" s="11" t="n">
        <v>0.08400000000000001</v>
      </c>
      <c r="E14" s="9" t="n"/>
      <c r="F14" s="9" t="inlineStr">
        <is>
          <t>~$120/night, kitchenettes</t>
        </is>
      </c>
    </row>
    <row r="15">
      <c r="A15" s="9" t="inlineStr"/>
      <c r="B15" s="9" t="inlineStr">
        <is>
          <t>Zurich - Hotel Glockenhof (6 nights)</t>
        </is>
      </c>
      <c r="C15" s="10" t="n">
        <v>960</v>
      </c>
      <c r="D15" s="11" t="n">
        <v>0.096</v>
      </c>
      <c r="E15" s="9" t="n"/>
      <c r="F15" s="9" t="inlineStr">
        <is>
          <t>~$160/night, family suites</t>
        </is>
      </c>
    </row>
    <row r="16">
      <c r="A16" s="5" t="inlineStr">
        <is>
          <t>Transportation</t>
        </is>
      </c>
      <c r="B16" s="5" t="inlineStr">
        <is>
          <t>Trains &amp; local transit</t>
        </is>
      </c>
      <c r="C16" s="6" t="n">
        <v>1800</v>
      </c>
      <c r="D16" s="7" t="n">
        <v>0.18</v>
      </c>
      <c r="E16" s="8" t="inlineStr">
        <is>
          <t>See 'Transportation' sheet</t>
        </is>
      </c>
      <c r="F16" s="8" t="inlineStr">
        <is>
          <t>Swiss Pass + local transit</t>
        </is>
      </c>
    </row>
    <row r="17">
      <c r="A17" s="9" t="inlineStr"/>
      <c r="B17" s="9" t="inlineStr">
        <is>
          <t>Swiss Travel Pass (8-day x 4)</t>
        </is>
      </c>
      <c r="C17" s="10" t="n">
        <v>1520</v>
      </c>
      <c r="D17" s="11" t="n">
        <v>0.152</v>
      </c>
      <c r="E17" s="9" t="n"/>
      <c r="F17" s="9" t="inlineStr">
        <is>
          <t>Unlimited Swiss trains/buses/boats</t>
        </is>
      </c>
    </row>
    <row r="18">
      <c r="A18" s="9" t="inlineStr"/>
      <c r="B18" s="9" t="inlineStr">
        <is>
          <t>Portugal trains/metro</t>
        </is>
      </c>
      <c r="C18" s="10" t="n">
        <v>140</v>
      </c>
      <c r="D18" s="11" t="n">
        <v>0.014</v>
      </c>
      <c r="E18" s="9" t="n"/>
      <c r="F18" s="9" t="inlineStr">
        <is>
          <t>Lisbon-Porto Alfa Pendular + local</t>
        </is>
      </c>
    </row>
    <row r="19">
      <c r="A19" s="9" t="inlineStr"/>
      <c r="B19" s="9" t="inlineStr">
        <is>
          <t>Spain trains/metro</t>
        </is>
      </c>
      <c r="C19" s="10" t="n">
        <v>140</v>
      </c>
      <c r="D19" s="11" t="n">
        <v>0.014</v>
      </c>
      <c r="E19" s="9" t="n"/>
      <c r="F19" s="9" t="inlineStr">
        <is>
          <t>Barcelona day trips + T-Casual card</t>
        </is>
      </c>
    </row>
    <row r="20">
      <c r="A20" s="5" t="inlineStr">
        <is>
          <t>Activities</t>
        </is>
      </c>
      <c r="B20" s="5" t="inlineStr">
        <is>
          <t>Nature-focused</t>
        </is>
      </c>
      <c r="C20" s="6" t="n">
        <v>400</v>
      </c>
      <c r="D20" s="7" t="n">
        <v>0.04</v>
      </c>
      <c r="E20" s="8" t="inlineStr">
        <is>
          <t>See 'Activities' sheet</t>
        </is>
      </c>
      <c r="F20" s="8" t="inlineStr">
        <is>
          <t>Entry fees, cable cars, boats</t>
        </is>
      </c>
    </row>
    <row r="21">
      <c r="A21" s="9" t="inlineStr"/>
      <c r="B21" s="9" t="inlineStr">
        <is>
          <t>Mountain cables/funiculars</t>
        </is>
      </c>
      <c r="C21" s="10" t="n">
        <v>200</v>
      </c>
      <c r="D21" s="11" t="n">
        <v>0.02</v>
      </c>
      <c r="E21" s="9" t="n"/>
      <c r="F21" s="9" t="inlineStr">
        <is>
          <t>Grindelwald First, Tibidabo, etc.</t>
        </is>
      </c>
    </row>
    <row r="22">
      <c r="A22" s="9" t="inlineStr"/>
      <c r="B22" s="9" t="inlineStr">
        <is>
          <t>Park/waterfall entrances</t>
        </is>
      </c>
      <c r="C22" s="10" t="n">
        <v>100</v>
      </c>
      <c r="D22" s="11" t="n">
        <v>0.01</v>
      </c>
      <c r="E22" s="9" t="n"/>
      <c r="F22" s="9" t="inlineStr">
        <is>
          <t>Trummelbach Falls, etc.</t>
        </is>
      </c>
    </row>
    <row r="23">
      <c r="A23" s="9" t="inlineStr"/>
      <c r="B23" s="9" t="inlineStr">
        <is>
          <t>Boat rides</t>
        </is>
      </c>
      <c r="C23" s="10" t="n">
        <v>100</v>
      </c>
      <c r="D23" s="11" t="n">
        <v>0.01</v>
      </c>
      <c r="E23" s="9" t="n"/>
      <c r="F23" s="9" t="inlineStr">
        <is>
          <t>Rhine Falls boat, misc.</t>
        </is>
      </c>
    </row>
    <row r="25">
      <c r="A25" s="12" t="inlineStr">
        <is>
          <t>GRAND TOTAL</t>
        </is>
      </c>
      <c r="B25" s="13" t="n"/>
      <c r="C25" s="14" t="n">
        <v>8590</v>
      </c>
      <c r="D25" s="15" t="n">
        <v>0.859</v>
      </c>
      <c r="E25" s="13" t="n"/>
      <c r="F25" s="13" t="n"/>
    </row>
    <row r="26">
      <c r="A26" s="16" t="inlineStr">
        <is>
          <t>REMAINING BUFFER</t>
        </is>
      </c>
      <c r="B26" s="13" t="n"/>
      <c r="C26" s="17" t="n">
        <v>1410</v>
      </c>
      <c r="D26" s="15" t="n">
        <v>0.141</v>
      </c>
      <c r="E26" s="13" t="n"/>
      <c r="F26" s="13" t="inlineStr">
        <is>
          <t>For food, emergencies, extras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8" t="inlineStr">
        <is>
          <t>Flights Budget - All Direct, No Layovers</t>
        </is>
      </c>
    </row>
    <row r="3">
      <c r="A3" s="4" t="inlineStr">
        <is>
          <t>Route</t>
        </is>
      </c>
      <c r="B3" s="4" t="inlineStr">
        <is>
          <t>Airline Options</t>
        </is>
      </c>
      <c r="C3" s="4" t="inlineStr">
        <is>
          <t>Duration</t>
        </is>
      </c>
      <c r="D3" s="4" t="inlineStr">
        <is>
          <t>Price/Person</t>
        </is>
      </c>
      <c r="E3" s="4" t="inlineStr">
        <is>
          <t>Qty</t>
        </is>
      </c>
      <c r="F3" s="4" t="inlineStr">
        <is>
          <t>Total (4 ppl)</t>
        </is>
      </c>
      <c r="G3" s="4" t="inlineStr">
        <is>
          <t>Frequency</t>
        </is>
      </c>
      <c r="H3" s="4" t="inlineStr">
        <is>
          <t>Source</t>
        </is>
      </c>
    </row>
    <row r="4">
      <c r="A4" s="9" t="inlineStr">
        <is>
          <t>Toronto -&gt; Lisbon</t>
        </is>
      </c>
      <c r="B4" s="9" t="inlineStr">
        <is>
          <t>TAP Air Portugal / Air Canada / Air Transat</t>
        </is>
      </c>
      <c r="C4" s="9" t="inlineStr">
        <is>
          <t>7h direct</t>
        </is>
      </c>
      <c r="D4" s="10" t="n">
        <v>450</v>
      </c>
      <c r="E4" s="9" t="n">
        <v>4</v>
      </c>
      <c r="F4" s="10">
        <f>D4*E4</f>
        <v/>
      </c>
      <c r="G4" s="9" t="inlineStr">
        <is>
          <t>TAP 8/wk, AC 4/wk, Transat seasonal</t>
        </is>
      </c>
      <c r="H4" s="19" t="inlineStr">
        <is>
          <t>https://www.flytap.com</t>
        </is>
      </c>
    </row>
    <row r="5">
      <c r="A5" s="9" t="inlineStr">
        <is>
          <t>Lisbon -&gt; Barcelona</t>
        </is>
      </c>
      <c r="B5" s="9" t="inlineStr">
        <is>
          <t>TAP / Vueling / Ryanair / easyJet</t>
        </is>
      </c>
      <c r="C5" s="9" t="inlineStr">
        <is>
          <t>2h direct</t>
        </is>
      </c>
      <c r="D5" s="10" t="n">
        <v>50</v>
      </c>
      <c r="E5" s="9" t="n">
        <v>4</v>
      </c>
      <c r="F5" s="10">
        <f>D5*E5</f>
        <v/>
      </c>
      <c r="G5" s="9" t="inlineStr">
        <is>
          <t>12+ direct flights daily</t>
        </is>
      </c>
      <c r="H5" s="19" t="inlineStr">
        <is>
          <t>https://www.vueling.com</t>
        </is>
      </c>
    </row>
    <row r="6">
      <c r="A6" s="9" t="inlineStr">
        <is>
          <t>Barcelona -&gt; Zurich</t>
        </is>
      </c>
      <c r="B6" s="9" t="inlineStr">
        <is>
          <t>SWISS / Vueling</t>
        </is>
      </c>
      <c r="C6" s="9" t="inlineStr">
        <is>
          <t>1h 45m direct</t>
        </is>
      </c>
      <c r="D6" s="10" t="n">
        <v>60</v>
      </c>
      <c r="E6" s="9" t="n">
        <v>4</v>
      </c>
      <c r="F6" s="10">
        <f>D6*E6</f>
        <v/>
      </c>
      <c r="G6" s="9" t="inlineStr">
        <is>
          <t>SWISS 21/wk, Vueling 12/wk</t>
        </is>
      </c>
      <c r="H6" s="19" t="inlineStr">
        <is>
          <t>https://www.swiss.com</t>
        </is>
      </c>
    </row>
    <row r="7">
      <c r="A7" s="9" t="inlineStr">
        <is>
          <t>Zurich -&gt; Toronto</t>
        </is>
      </c>
      <c r="B7" s="9" t="inlineStr">
        <is>
          <t>Air Canada / SWISS</t>
        </is>
      </c>
      <c r="C7" s="9" t="inlineStr">
        <is>
          <t>9h direct</t>
        </is>
      </c>
      <c r="D7" s="10" t="n">
        <v>400</v>
      </c>
      <c r="E7" s="9" t="n">
        <v>4</v>
      </c>
      <c r="F7" s="10">
        <f>D7*E7</f>
        <v/>
      </c>
      <c r="G7" s="9" t="inlineStr">
        <is>
          <t>AC + SWISS daily direct</t>
        </is>
      </c>
      <c r="H7" s="19" t="inlineStr">
        <is>
          <t>https://www.aircanada.com</t>
        </is>
      </c>
    </row>
    <row r="8">
      <c r="A8" s="20" t="inlineStr">
        <is>
          <t>TOTAL FLIGHTS</t>
        </is>
      </c>
      <c r="B8" s="21" t="n"/>
      <c r="C8" s="21" t="n"/>
      <c r="D8" s="21" t="n"/>
      <c r="E8" s="21" t="n"/>
      <c r="F8" s="22">
        <f>SUM(F4:F7)</f>
        <v/>
      </c>
      <c r="G8" s="21" t="n"/>
      <c r="H8" s="21" t="n"/>
    </row>
  </sheetData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2" customWidth="1" min="8" max="8"/>
    <col width="32" customWidth="1" min="9" max="9"/>
  </cols>
  <sheetData>
    <row r="1">
      <c r="A1" s="18" t="inlineStr">
        <is>
          <t>Accommodation Budget - 20 Nights, 3 Hotel Check-ins</t>
        </is>
      </c>
    </row>
    <row r="3">
      <c r="A3" s="4" t="inlineStr">
        <is>
          <t>City</t>
        </is>
      </c>
      <c r="B3" s="4" t="inlineStr">
        <is>
          <t>Hotel</t>
        </is>
      </c>
      <c r="C3" s="4" t="inlineStr">
        <is>
          <t>Room Type</t>
        </is>
      </c>
      <c r="D3" s="4" t="inlineStr">
        <is>
          <t>Nights</t>
        </is>
      </c>
      <c r="E3" s="4" t="inlineStr">
        <is>
          <t>Rate/Night</t>
        </is>
      </c>
      <c r="F3" s="4" t="inlineStr">
        <is>
          <t>Total</t>
        </is>
      </c>
      <c r="G3" s="4" t="inlineStr">
        <is>
          <t>Breakfast</t>
        </is>
      </c>
      <c r="H3" s="4" t="inlineStr">
        <is>
          <t>Key Features</t>
        </is>
      </c>
      <c r="I3" s="4" t="inlineStr">
        <is>
          <t>Booking Link</t>
        </is>
      </c>
    </row>
    <row r="4">
      <c r="A4" s="9" t="inlineStr">
        <is>
          <t>Lisbon</t>
        </is>
      </c>
      <c r="B4" s="9" t="inlineStr">
        <is>
          <t>Hotel da Baixa ****</t>
        </is>
      </c>
      <c r="C4" s="9" t="inlineStr">
        <is>
          <t>Family Room (Queen+King)</t>
        </is>
      </c>
      <c r="D4" s="9" t="n">
        <v>5</v>
      </c>
      <c r="E4" s="10" t="n">
        <v>110</v>
      </c>
      <c r="F4" s="10">
        <f>D4*E4</f>
        <v/>
      </c>
      <c r="G4" s="9" t="inlineStr">
        <is>
          <t>Included</t>
        </is>
      </c>
      <c r="H4" s="9" t="inlineStr">
        <is>
          <t>2-min walk to Rossio Station, balconies, Nespresso</t>
        </is>
      </c>
      <c r="I4" s="19" t="inlineStr">
        <is>
          <t>https://www.hoteldabaixa.com</t>
        </is>
      </c>
    </row>
    <row r="5">
      <c r="A5" s="9" t="inlineStr">
        <is>
          <t>Porto</t>
        </is>
      </c>
      <c r="B5" s="9" t="inlineStr">
        <is>
          <t>Moov Hotel Porto Centro ****</t>
        </is>
      </c>
      <c r="C5" s="9" t="inlineStr">
        <is>
          <t>Superior (2 double+sofa)</t>
        </is>
      </c>
      <c r="D5" s="9" t="n">
        <v>2</v>
      </c>
      <c r="E5" s="10" t="n">
        <v>100</v>
      </c>
      <c r="F5" s="10">
        <f>D5*E5</f>
        <v/>
      </c>
      <c r="G5" s="9" t="inlineStr">
        <is>
          <t>Not included</t>
        </is>
      </c>
      <c r="H5" s="9" t="inlineStr">
        <is>
          <t>5-min to Sao Bento Station, modern design</t>
        </is>
      </c>
      <c r="I5" s="19" t="inlineStr">
        <is>
          <t>https://www.moovhotels.com</t>
        </is>
      </c>
    </row>
    <row r="6">
      <c r="A6" s="9" t="inlineStr">
        <is>
          <t>Barcelona</t>
        </is>
      </c>
      <c r="B6" s="9" t="inlineStr">
        <is>
          <t>Aparthotel Arai 4* Superior</t>
        </is>
      </c>
      <c r="C6" s="9" t="inlineStr">
        <is>
          <t>Family apartment</t>
        </is>
      </c>
      <c r="D6" s="9" t="n">
        <v>7</v>
      </c>
      <c r="E6" s="10" t="n">
        <v>120</v>
      </c>
      <c r="F6" s="10">
        <f>D6*E6</f>
        <v/>
      </c>
      <c r="G6" s="9" t="inlineStr">
        <is>
          <t>Not included</t>
        </is>
      </c>
      <c r="H6" s="9" t="inlineStr">
        <is>
          <t>Kitchenette, rooftop pool, Gothic Quarter</t>
        </is>
      </c>
      <c r="I6" s="19" t="inlineStr">
        <is>
          <t>https://www.hotelarai.com</t>
        </is>
      </c>
    </row>
    <row r="7">
      <c r="A7" s="9" t="inlineStr">
        <is>
          <t>Zurich</t>
        </is>
      </c>
      <c r="B7" s="9" t="inlineStr">
        <is>
          <t>Hotel Glockenhof ****</t>
        </is>
      </c>
      <c r="C7" s="9" t="inlineStr">
        <is>
          <t>Family Suite (connecting)</t>
        </is>
      </c>
      <c r="D7" s="9" t="n">
        <v>6</v>
      </c>
      <c r="E7" s="10" t="n">
        <v>160</v>
      </c>
      <c r="F7" s="10">
        <f>D7*E7</f>
        <v/>
      </c>
      <c r="G7" s="9" t="inlineStr">
        <is>
          <t>Included</t>
        </is>
      </c>
      <c r="H7" s="9" t="inlineStr">
        <is>
          <t>7-min to Zurich HB, Swiss chocolate daily</t>
        </is>
      </c>
      <c r="I7" s="19" t="inlineStr">
        <is>
          <t>https://www.glockenhof.ch</t>
        </is>
      </c>
    </row>
    <row r="8">
      <c r="A8" s="20" t="inlineStr">
        <is>
          <t>TOTAL ACCOMMODATION</t>
        </is>
      </c>
      <c r="B8" s="21" t="n"/>
      <c r="C8" s="21" t="n"/>
      <c r="D8" s="20">
        <f>SUM(D4:D7)</f>
        <v/>
      </c>
      <c r="E8" s="21" t="n"/>
      <c r="F8" s="22">
        <f>SUM(F4:F7)</f>
        <v/>
      </c>
      <c r="G8" s="21" t="n"/>
      <c r="H8" s="21" t="n"/>
      <c r="I8" s="21" t="n"/>
    </row>
    <row r="10">
      <c r="A10" s="23" t="inlineStr">
        <is>
          <t>Booking Tips:</t>
        </is>
      </c>
    </row>
    <row r="11">
      <c r="A11" t="inlineStr">
        <is>
          <t xml:space="preserve">  1. Book 2-3 months ahead for September (shoulder season pricing)</t>
        </is>
      </c>
    </row>
    <row r="12">
      <c r="A12" t="inlineStr">
        <is>
          <t xml:space="preserve">  2. Request connecting rooms or family rooms when booking</t>
        </is>
      </c>
    </row>
    <row r="13">
      <c r="A13" t="inlineStr">
        <is>
          <t xml:space="preserve">  3. Check hotel websites directly - often same price as Booking.com but more flexibility</t>
        </is>
      </c>
    </row>
    <row r="14">
      <c r="A14" t="inlineStr">
        <is>
          <t xml:space="preserve">  4. All recommended hotels are near train stations for easy day trips</t>
        </is>
      </c>
    </row>
  </sheetData>
  <mergeCells count="5">
    <mergeCell ref="A11:I11"/>
    <mergeCell ref="A13:I13"/>
    <mergeCell ref="A14:I14"/>
    <mergeCell ref="A1:I1"/>
    <mergeCell ref="A12:I1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40" customWidth="1" min="6" max="6"/>
    <col width="18" customWidth="1" min="7" max="7"/>
    <col width="18" customWidth="1" min="8" max="8"/>
  </cols>
  <sheetData>
    <row r="1">
      <c r="A1" s="18" t="inlineStr">
        <is>
          <t>Transportation Budget - Trains, Metro, Local Transit</t>
        </is>
      </c>
    </row>
    <row r="3">
      <c r="A3" s="4" t="inlineStr">
        <is>
          <t>Country</t>
        </is>
      </c>
      <c r="B3" s="4" t="inlineStr">
        <is>
          <t>Item</t>
        </is>
      </c>
      <c r="C3" s="4" t="inlineStr">
        <is>
          <t>Unit Cost</t>
        </is>
      </c>
      <c r="D3" s="4" t="inlineStr">
        <is>
          <t>Qty/People</t>
        </is>
      </c>
      <c r="E3" s="4" t="inlineStr">
        <is>
          <t>Total</t>
        </is>
      </c>
      <c r="F3" s="4" t="inlineStr">
        <is>
          <t>Route/Details</t>
        </is>
      </c>
      <c r="G3" s="4" t="inlineStr">
        <is>
          <t>Duration</t>
        </is>
      </c>
      <c r="H3" s="4" t="inlineStr">
        <is>
          <t>Source</t>
        </is>
      </c>
    </row>
    <row r="4">
      <c r="A4" s="9" t="inlineStr">
        <is>
          <t>Switzerland</t>
        </is>
      </c>
      <c r="B4" s="9" t="inlineStr">
        <is>
          <t>Swiss Travel Pass (8-day consecutive)</t>
        </is>
      </c>
      <c r="C4" s="10" t="n">
        <v>380</v>
      </c>
      <c r="D4" s="9" t="n">
        <v>4</v>
      </c>
      <c r="E4" s="10">
        <f>C4*D4</f>
        <v/>
      </c>
      <c r="F4" s="9" t="inlineStr">
        <is>
          <t>Unlimited trains/buses/boats + 50% mountain railways</t>
        </is>
      </c>
      <c r="G4" s="9" t="inlineStr">
        <is>
          <t>8 days</t>
        </is>
      </c>
      <c r="H4" s="19" t="inlineStr">
        <is>
          <t>https://www.swisstravelsystem.com</t>
        </is>
      </c>
    </row>
    <row r="5">
      <c r="A5" s="9" t="inlineStr">
        <is>
          <t>Portugal</t>
        </is>
      </c>
      <c r="B5" s="9" t="inlineStr">
        <is>
          <t>Lisbon -&gt; Porto Alfa Pendular</t>
        </is>
      </c>
      <c r="C5" s="10" t="n">
        <v>30</v>
      </c>
      <c r="D5" s="9" t="n">
        <v>4</v>
      </c>
      <c r="E5" s="10">
        <f>C5*D5</f>
        <v/>
      </c>
      <c r="F5" s="9" t="inlineStr">
        <is>
          <t>Santa Apolonia -&gt; Porto Campanha</t>
        </is>
      </c>
      <c r="G5" s="9" t="inlineStr">
        <is>
          <t>3h</t>
        </is>
      </c>
      <c r="H5" s="19" t="inlineStr">
        <is>
          <t>https://www.cp.pt</t>
        </is>
      </c>
    </row>
    <row r="6">
      <c r="A6" s="9" t="inlineStr">
        <is>
          <t>Portugal</t>
        </is>
      </c>
      <c r="B6" s="9" t="inlineStr">
        <is>
          <t>Lisbon -&gt; Sintra train (RT)</t>
        </is>
      </c>
      <c r="C6" s="10" t="n">
        <v>5</v>
      </c>
      <c r="D6" s="9" t="n">
        <v>4</v>
      </c>
      <c r="E6" s="10">
        <f>C6*D6</f>
        <v/>
      </c>
      <c r="F6" s="9" t="inlineStr">
        <is>
          <t>Rossio Station -&gt; Sintra</t>
        </is>
      </c>
      <c r="G6" s="9" t="inlineStr">
        <is>
          <t>40 min</t>
        </is>
      </c>
      <c r="H6" s="19" t="inlineStr">
        <is>
          <t>https://www.cp.pt</t>
        </is>
      </c>
    </row>
    <row r="7">
      <c r="A7" s="9" t="inlineStr">
        <is>
          <t>Portugal</t>
        </is>
      </c>
      <c r="B7" s="9" t="inlineStr">
        <is>
          <t>Lisbon -&gt; Cascais train (RT)</t>
        </is>
      </c>
      <c r="C7" s="10" t="n">
        <v>5</v>
      </c>
      <c r="D7" s="9" t="n">
        <v>4</v>
      </c>
      <c r="E7" s="10">
        <f>C7*D7</f>
        <v/>
      </c>
      <c r="F7" s="9" t="inlineStr">
        <is>
          <t>Cais do Sodre -&gt; Cascais</t>
        </is>
      </c>
      <c r="G7" s="9" t="inlineStr">
        <is>
          <t>40 min</t>
        </is>
      </c>
      <c r="H7" s="19" t="inlineStr">
        <is>
          <t>https://www.cp.pt</t>
        </is>
      </c>
    </row>
    <row r="8">
      <c r="A8" s="9" t="inlineStr">
        <is>
          <t>Portugal</t>
        </is>
      </c>
      <c r="B8" s="9" t="inlineStr">
        <is>
          <t>Lisboa Viva card + loads</t>
        </is>
      </c>
      <c r="C8" s="10" t="n">
        <v>10</v>
      </c>
      <c r="D8" s="9" t="n">
        <v>4</v>
      </c>
      <c r="E8" s="10">
        <f>C8*D8</f>
        <v/>
      </c>
      <c r="F8" s="9" t="inlineStr">
        <is>
          <t>Metro, buses, ferries in Lisbon area</t>
        </is>
      </c>
      <c r="G8" s="9" t="inlineStr">
        <is>
          <t>5 days</t>
        </is>
      </c>
      <c r="H8" s="19" t="inlineStr">
        <is>
          <t>https://www.metrolisboa.pt</t>
        </is>
      </c>
    </row>
    <row r="9">
      <c r="A9" s="9" t="inlineStr">
        <is>
          <t>Spain</t>
        </is>
      </c>
      <c r="B9" s="9" t="inlineStr">
        <is>
          <t>Barcelona T-Casual (10 trips)</t>
        </is>
      </c>
      <c r="C9" s="10" t="n">
        <v>12</v>
      </c>
      <c r="D9" s="9" t="n">
        <v>4</v>
      </c>
      <c r="E9" s="10">
        <f>C9*D9</f>
        <v/>
      </c>
      <c r="F9" s="9" t="inlineStr">
        <is>
          <t>Metro/buses/trams in Barcelona zone</t>
        </is>
      </c>
      <c r="G9" s="9" t="inlineStr">
        <is>
          <t>10 trips each</t>
        </is>
      </c>
      <c r="H9" s="19" t="inlineStr">
        <is>
          <t>https://www.tmb.cat</t>
        </is>
      </c>
    </row>
    <row r="10">
      <c r="A10" s="9" t="inlineStr">
        <is>
          <t>Spain</t>
        </is>
      </c>
      <c r="B10" s="9" t="inlineStr">
        <is>
          <t>Barcelona -&gt; Blanes (Costa Brava) RT</t>
        </is>
      </c>
      <c r="C10" s="10" t="n">
        <v>10</v>
      </c>
      <c r="D10" s="9" t="n">
        <v>4</v>
      </c>
      <c r="E10" s="10">
        <f>C10*D10</f>
        <v/>
      </c>
      <c r="F10" s="9" t="inlineStr">
        <is>
          <t>Rodalies R1</t>
        </is>
      </c>
      <c r="G10" s="9" t="inlineStr">
        <is>
          <t>1h 20min</t>
        </is>
      </c>
      <c r="H10" s="19" t="inlineStr">
        <is>
          <t>https://rofrens.gencat.cat</t>
        </is>
      </c>
    </row>
    <row r="11">
      <c r="A11" s="9" t="inlineStr">
        <is>
          <t>Spain</t>
        </is>
      </c>
      <c r="B11" s="9" t="inlineStr">
        <is>
          <t>Barcelona -&gt; Sitges RT</t>
        </is>
      </c>
      <c r="C11" s="10" t="n">
        <v>8</v>
      </c>
      <c r="D11" s="9" t="n">
        <v>4</v>
      </c>
      <c r="E11" s="10">
        <f>C11*D11</f>
        <v/>
      </c>
      <c r="F11" s="9" t="inlineStr">
        <is>
          <t>Rodalies R2</t>
        </is>
      </c>
      <c r="G11" s="9" t="inlineStr">
        <is>
          <t>35 min</t>
        </is>
      </c>
      <c r="H11" s="19" t="inlineStr">
        <is>
          <t>https://rodalies.gencat.cat</t>
        </is>
      </c>
    </row>
    <row r="12">
      <c r="A12" s="9" t="inlineStr">
        <is>
          <t>Spain</t>
        </is>
      </c>
      <c r="B12" s="9" t="inlineStr">
        <is>
          <t>Barcelona -&gt; Girona AVE RT</t>
        </is>
      </c>
      <c r="C12" s="10" t="n">
        <v>24</v>
      </c>
      <c r="D12" s="9" t="n">
        <v>4</v>
      </c>
      <c r="E12" s="10">
        <f>C12*D12</f>
        <v/>
      </c>
      <c r="F12" s="9" t="inlineStr">
        <is>
          <t>AVE high-speed</t>
        </is>
      </c>
      <c r="G12" s="9" t="inlineStr">
        <is>
          <t>40 min</t>
        </is>
      </c>
      <c r="H12" s="19" t="inlineStr">
        <is>
          <t>https://www.renfe.com</t>
        </is>
      </c>
    </row>
    <row r="13">
      <c r="A13" s="9" t="inlineStr">
        <is>
          <t>Spain</t>
        </is>
      </c>
      <c r="B13" s="9" t="inlineStr">
        <is>
          <t>Montserrat Tot Complert RT</t>
        </is>
      </c>
      <c r="C13" s="10" t="n">
        <v>25</v>
      </c>
      <c r="D13" s="9" t="n">
        <v>4</v>
      </c>
      <c r="E13" s="10">
        <f>C13*D13</f>
        <v/>
      </c>
      <c r="F13" s="9" t="inlineStr">
        <is>
          <t>FGC train + rack railway + cable car</t>
        </is>
      </c>
      <c r="G13" s="9" t="inlineStr">
        <is>
          <t>1h 15min</t>
        </is>
      </c>
      <c r="H13" s="19" t="inlineStr">
        <is>
          <t>https://www.fgc.cat</t>
        </is>
      </c>
    </row>
    <row r="14">
      <c r="A14" s="9" t="inlineStr">
        <is>
          <t>Spain</t>
        </is>
      </c>
      <c r="B14" s="9" t="inlineStr">
        <is>
          <t>Tibidabo transport RT</t>
        </is>
      </c>
      <c r="C14" s="10" t="n">
        <v>12</v>
      </c>
      <c r="D14" s="9" t="n">
        <v>4</v>
      </c>
      <c r="E14" s="10">
        <f>C14*D14</f>
        <v/>
      </c>
      <c r="F14" s="9" t="inlineStr">
        <is>
          <t>Metro L7 + Bus 196 + Funicular</t>
        </is>
      </c>
      <c r="G14" s="9" t="inlineStr">
        <is>
          <t>45 min</t>
        </is>
      </c>
      <c r="H14" s="19" t="inlineStr">
        <is>
          <t>https://www.tmb.cat</t>
        </is>
      </c>
    </row>
    <row r="15">
      <c r="A15" s="20" t="inlineStr">
        <is>
          <t>TOTAL TRANSPORTATION</t>
        </is>
      </c>
      <c r="B15" s="21" t="n"/>
      <c r="C15" s="21" t="n"/>
      <c r="D15" s="21" t="n"/>
      <c r="E15" s="22">
        <f>SUM(E4:E14)</f>
        <v/>
      </c>
      <c r="F15" s="21" t="n"/>
      <c r="G15" s="21" t="n"/>
      <c r="H15" s="21" t="n"/>
    </row>
  </sheetData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8" t="inlineStr">
        <is>
          <t>Activities Budget - Nature-Focused</t>
        </is>
      </c>
    </row>
    <row r="3">
      <c r="A3" s="4" t="inlineStr">
        <is>
          <t>Day</t>
        </is>
      </c>
      <c r="B3" s="4" t="inlineStr">
        <is>
          <t>Country</t>
        </is>
      </c>
      <c r="C3" s="4" t="inlineStr">
        <is>
          <t>Activity</t>
        </is>
      </c>
      <c r="D3" s="4" t="inlineStr">
        <is>
          <t>Cost/Person</t>
        </is>
      </c>
      <c r="E3" s="4" t="inlineStr">
        <is>
          <t>Qty</t>
        </is>
      </c>
      <c r="F3" s="4" t="inlineStr">
        <is>
          <t>Total</t>
        </is>
      </c>
      <c r="G3" s="4" t="inlineStr">
        <is>
          <t>Type</t>
        </is>
      </c>
      <c r="H3" s="4" t="inlineStr">
        <is>
          <t>Source</t>
        </is>
      </c>
    </row>
    <row r="4">
      <c r="A4" s="9" t="inlineStr">
        <is>
          <t>Day 14</t>
        </is>
      </c>
      <c r="B4" s="9" t="inlineStr">
        <is>
          <t>Spain</t>
        </is>
      </c>
      <c r="C4" s="9" t="inlineStr">
        <is>
          <t>Tibidabo viewing platform elevator</t>
        </is>
      </c>
      <c r="D4" s="10" t="n">
        <v>5</v>
      </c>
      <c r="E4" s="9" t="n">
        <v>4</v>
      </c>
      <c r="F4" s="10">
        <f>D4*E4</f>
        <v/>
      </c>
      <c r="G4" s="9" t="inlineStr">
        <is>
          <t>Mountain viewpoint</t>
        </is>
      </c>
      <c r="H4" s="19" t="inlineStr">
        <is>
          <t>https://en.wikipedia.org/wiki/Tibidabo</t>
        </is>
      </c>
    </row>
    <row r="5">
      <c r="A5" s="9" t="inlineStr">
        <is>
          <t>Day 17</t>
        </is>
      </c>
      <c r="B5" s="9" t="inlineStr">
        <is>
          <t>Switzerland</t>
        </is>
      </c>
      <c r="C5" s="9" t="inlineStr">
        <is>
          <t>Trummelbach Falls entrance</t>
        </is>
      </c>
      <c r="D5" s="10" t="n">
        <v>15</v>
      </c>
      <c r="E5" s="9" t="n">
        <v>4</v>
      </c>
      <c r="F5" s="10">
        <f>D5*E5</f>
        <v/>
      </c>
      <c r="G5" s="9" t="inlineStr">
        <is>
          <t>Waterfall</t>
        </is>
      </c>
      <c r="H5" s="19" t="inlineStr">
        <is>
          <t>https://www.truemmelbachfaelle.ch</t>
        </is>
      </c>
    </row>
    <row r="6">
      <c r="A6" s="9" t="inlineStr">
        <is>
          <t>Day 18</t>
        </is>
      </c>
      <c r="B6" s="9" t="inlineStr">
        <is>
          <t>Switzerland</t>
        </is>
      </c>
      <c r="C6" s="9" t="inlineStr">
        <is>
          <t>Grindelwald First cable car (50% off w/ Swiss Pass)</t>
        </is>
      </c>
      <c r="D6" s="10" t="n">
        <v>50</v>
      </c>
      <c r="E6" s="9" t="n">
        <v>4</v>
      </c>
      <c r="F6" s="10">
        <f>D6*E6</f>
        <v/>
      </c>
      <c r="G6" s="9" t="inlineStr">
        <is>
          <t>Mountain cable car</t>
        </is>
      </c>
      <c r="H6" s="19" t="inlineStr">
        <is>
          <t>https://www.jungfrau.ch</t>
        </is>
      </c>
    </row>
    <row r="7">
      <c r="A7" s="9" t="inlineStr">
        <is>
          <t>Day 19</t>
        </is>
      </c>
      <c r="B7" s="9" t="inlineStr">
        <is>
          <t>Switzerland</t>
        </is>
      </c>
      <c r="C7" s="9" t="inlineStr">
        <is>
          <t>Mount Pilatus cable car (50% off w/ Swiss Pass, optional)</t>
        </is>
      </c>
      <c r="D7" s="10" t="n">
        <v>25</v>
      </c>
      <c r="E7" s="9" t="n">
        <v>4</v>
      </c>
      <c r="F7" s="10">
        <f>D7*E7</f>
        <v/>
      </c>
      <c r="G7" s="9" t="inlineStr">
        <is>
          <t>Mountain cable car</t>
        </is>
      </c>
      <c r="H7" s="19" t="inlineStr">
        <is>
          <t>https://www.pilatus.ch</t>
        </is>
      </c>
    </row>
    <row r="8">
      <c r="A8" s="9" t="inlineStr">
        <is>
          <t>Day 20</t>
        </is>
      </c>
      <c r="B8" s="9" t="inlineStr">
        <is>
          <t>Switzerland</t>
        </is>
      </c>
      <c r="C8" s="9" t="inlineStr">
        <is>
          <t>Rhine Falls boat ride to rock</t>
        </is>
      </c>
      <c r="D8" s="10" t="n">
        <v>7</v>
      </c>
      <c r="E8" s="9" t="n">
        <v>4</v>
      </c>
      <c r="F8" s="10">
        <f>D8*E8</f>
        <v/>
      </c>
      <c r="G8" s="9" t="inlineStr">
        <is>
          <t>Boat ride</t>
        </is>
      </c>
      <c r="H8" s="19" t="inlineStr">
        <is>
          <t>https://www.rheinfall.ch</t>
        </is>
      </c>
    </row>
    <row r="9">
      <c r="A9" s="20" t="inlineStr">
        <is>
          <t>TOTAL ACTIVITIES</t>
        </is>
      </c>
      <c r="B9" s="21" t="n"/>
      <c r="C9" s="21" t="n"/>
      <c r="D9" s="21" t="n"/>
      <c r="E9" s="21" t="n"/>
      <c r="F9" s="22">
        <f>SUM(F4:F8)</f>
        <v/>
      </c>
      <c r="G9" s="21" t="n"/>
      <c r="H9" s="21" t="n"/>
    </row>
  </sheetData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B6B"/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8" customWidth="1" min="6" max="6"/>
    <col width="18" customWidth="1" min="7" max="7"/>
    <col width="38" customWidth="1" min="8" max="8"/>
  </cols>
  <sheetData>
    <row r="1">
      <c r="A1" s="18" t="inlineStr">
        <is>
          <t>Food Budget - Estimated Daily Costs by City</t>
        </is>
      </c>
    </row>
    <row r="2">
      <c r="A2" s="2" t="inlineStr">
        <is>
          <t>Note: Food costs come from the $1,410 buffer. Grocery stores recommended to stay within budget.</t>
        </is>
      </c>
    </row>
    <row r="4">
      <c r="A4" s="4" t="inlineStr">
        <is>
          <t>City</t>
        </is>
      </c>
      <c r="B4" s="4" t="inlineStr">
        <is>
          <t>Days</t>
        </is>
      </c>
      <c r="C4" s="4" t="inlineStr">
        <is>
          <t>Daily Budget (4 ppl)</t>
        </is>
      </c>
      <c r="D4" s="4" t="inlineStr">
        <is>
          <t>Total</t>
        </is>
      </c>
      <c r="E4" s="4" t="inlineStr">
        <is>
          <t>Breakfast</t>
        </is>
      </c>
      <c r="F4" s="4" t="inlineStr">
        <is>
          <t>Grocery Stores</t>
        </is>
      </c>
      <c r="G4" s="4" t="inlineStr">
        <is>
          <t>Avg Meal Out</t>
        </is>
      </c>
      <c r="H4" s="4" t="inlineStr">
        <is>
          <t>Notes</t>
        </is>
      </c>
    </row>
    <row r="5">
      <c r="A5" s="9" t="inlineStr">
        <is>
          <t>Lisbon</t>
        </is>
      </c>
      <c r="B5" s="9" t="n">
        <v>5</v>
      </c>
      <c r="C5" s="10" t="n">
        <v>45</v>
      </c>
      <c r="D5" s="10">
        <f>B5*C5</f>
        <v/>
      </c>
      <c r="E5" s="9" t="inlineStr">
        <is>
          <t>Included at hotel</t>
        </is>
      </c>
      <c r="F5" s="9" t="inlineStr">
        <is>
          <t>Pingo Doce, Continente, Minipreco</t>
        </is>
      </c>
      <c r="G5" s="9" t="inlineStr">
        <is>
          <t>$8-12/meal</t>
        </is>
      </c>
      <c r="H5" s="9" t="inlineStr">
        <is>
          <t>Portugal is very affordable for food</t>
        </is>
      </c>
    </row>
    <row r="6">
      <c r="A6" s="9" t="inlineStr">
        <is>
          <t>Porto</t>
        </is>
      </c>
      <c r="B6" s="9" t="n">
        <v>2</v>
      </c>
      <c r="C6" s="10" t="n">
        <v>45</v>
      </c>
      <c r="D6" s="10">
        <f>B6*C6</f>
        <v/>
      </c>
      <c r="E6" s="9" t="inlineStr">
        <is>
          <t>At cafe or packed</t>
        </is>
      </c>
      <c r="F6" s="9" t="inlineStr">
        <is>
          <t>Pingo Doce, Continente</t>
        </is>
      </c>
      <c r="G6" s="9" t="inlineStr">
        <is>
          <t>$8-12/meal</t>
        </is>
      </c>
      <c r="H6" s="9" t="inlineStr">
        <is>
          <t>Seafood is excellent and affordable</t>
        </is>
      </c>
    </row>
    <row r="7">
      <c r="A7" s="9" t="inlineStr">
        <is>
          <t>Barcelona</t>
        </is>
      </c>
      <c r="B7" s="9" t="n">
        <v>7</v>
      </c>
      <c r="C7" s="10" t="n">
        <v>55</v>
      </c>
      <c r="D7" s="10">
        <f>B7*C7</f>
        <v/>
      </c>
      <c r="E7" s="9" t="inlineStr">
        <is>
          <t>Kitchenette available</t>
        </is>
      </c>
      <c r="F7" s="9" t="inlineStr">
        <is>
          <t>Mercadona, Bon Preu, Carrefour Express</t>
        </is>
      </c>
      <c r="G7" s="9" t="inlineStr">
        <is>
          <t>$10-15/meal</t>
        </is>
      </c>
      <c r="H7" s="9" t="inlineStr">
        <is>
          <t>Use kitchenette at Aparthotel Arai to save</t>
        </is>
      </c>
    </row>
    <row r="8">
      <c r="A8" s="9" t="inlineStr">
        <is>
          <t>Zurich</t>
        </is>
      </c>
      <c r="B8" s="9" t="n">
        <v>6</v>
      </c>
      <c r="C8" s="10" t="n">
        <v>75</v>
      </c>
      <c r="D8" s="10">
        <f>B8*C8</f>
        <v/>
      </c>
      <c r="E8" s="9" t="inlineStr">
        <is>
          <t>Included at hotel</t>
        </is>
      </c>
      <c r="F8" s="9" t="inlineStr">
        <is>
          <t>Migros (best value), Coop, Denner, Aldi</t>
        </is>
      </c>
      <c r="G8" s="9" t="inlineStr">
        <is>
          <t>$15-25/meal</t>
        </is>
      </c>
      <c r="H8" s="9" t="inlineStr">
        <is>
          <t>Switzerland is expensive - grocery shop at Migros</t>
        </is>
      </c>
    </row>
    <row r="9">
      <c r="A9" s="20" t="inlineStr">
        <is>
          <t>TOTAL FOOD ESTIMATE</t>
        </is>
      </c>
      <c r="B9" s="21">
        <f>SUM(B5:B8)</f>
        <v/>
      </c>
      <c r="C9" s="21" t="n"/>
      <c r="D9" s="22">
        <f>SUM(D5:D8)</f>
        <v/>
      </c>
      <c r="E9" s="21" t="n"/>
      <c r="F9" s="21" t="n"/>
      <c r="G9" s="21" t="n"/>
      <c r="H9" s="21" t="n"/>
    </row>
    <row r="11">
      <c r="A11" s="23" t="inlineStr">
        <is>
          <t>Buffer Available</t>
        </is>
      </c>
      <c r="D11" s="24" t="n">
        <v>1410</v>
      </c>
    </row>
    <row r="12">
      <c r="A12" s="25" t="inlineStr">
        <is>
          <t>Remaining After Food</t>
        </is>
      </c>
      <c r="D12" s="26">
        <f>D11-D9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2026-02-09T03:43:26Z</dcterms:created>
  <dcterms:modified xsi:type="dcterms:W3CDTF">2026-02-09T03:43:26Z</dcterms:modified>
</cp:coreProperties>
</file>